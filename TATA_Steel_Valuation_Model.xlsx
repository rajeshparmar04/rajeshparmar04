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come Statement" sheetId="2" state="visible" r:id="rId2"/>
    <sheet name="Cash Flows" sheetId="3" state="visible" r:id="rId3"/>
    <sheet name="Balance Sheet" sheetId="4" state="visible" r:id="rId4"/>
    <sheet name="Key Ratios" sheetId="5" state="visible" r:id="rId5"/>
    <sheet name="Assumptions" sheetId="6" state="visible" r:id="rId6"/>
    <sheet name="DCF Model" sheetId="7" state="visible" r:id="rId7"/>
    <sheet name="Monte Carlo" sheetId="8" state="visible" r:id="rId8"/>
    <sheet name="EVA" sheetId="9" state="visible" r:id="rId9"/>
    <sheet name="Relative Valuation" sheetId="10" state="visible" r:id="rId10"/>
    <sheet name="DDM" sheetId="11" state="visible" r:id="rId11"/>
    <sheet name="Sensitivity" sheetId="12" state="visible" r:id="rId12"/>
    <sheet name="Football Fiel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1F4E79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10" fontId="0" fillId="0" borderId="1" pivotButton="0" quotePrefix="0" xfId="0"/>
    <xf numFmtId="0" fontId="4" fillId="0" borderId="1" pivotButton="0" quotePrefix="0" xfId="0"/>
    <xf numFmtId="10" fontId="4" fillId="0" borderId="1" pivotButton="0" quotePrefix="0" xfId="0"/>
    <xf numFmtId="3" fontId="0" fillId="0" borderId="0" pivotButton="0" quotePrefix="0" xfId="0"/>
    <xf numFmtId="165" fontId="0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" customWidth="1" min="3" max="3"/>
    <col width="4" customWidth="1" min="4" max="4"/>
    <col width="4" customWidth="1" min="5" max="5"/>
  </cols>
  <sheetData>
    <row r="1">
      <c r="A1" s="1" t="inlineStr">
        <is>
          <t>TATA STEEL LIMITED — Equity Valuation Model</t>
        </is>
      </c>
    </row>
    <row r="2"/>
    <row r="3">
      <c r="A3" s="2" t="inlineStr">
        <is>
          <t>NSE / BSE</t>
        </is>
      </c>
      <c r="B3" t="inlineStr">
        <is>
          <t>TATASTEEL / 500470</t>
        </is>
      </c>
    </row>
    <row r="4">
      <c r="A4" s="2" t="inlineStr">
        <is>
          <t>ISIN</t>
        </is>
      </c>
      <c r="B4" t="inlineStr">
        <is>
          <t>INE081A01020</t>
        </is>
      </c>
    </row>
    <row r="5">
      <c r="A5" s="2" t="inlineStr">
        <is>
          <t>Report Date</t>
        </is>
      </c>
      <c r="B5" t="inlineStr">
        <is>
          <t>March 9, 2026</t>
        </is>
      </c>
    </row>
    <row r="6">
      <c r="A6" s="2" t="inlineStr">
        <is>
          <t>Prepared by</t>
        </is>
      </c>
      <c r="B6" t="inlineStr">
        <is>
          <t>Rajesh Parmar (Final Year MBA Candidate)</t>
        </is>
      </c>
    </row>
    <row r="7">
      <c r="A7" s="2" t="inlineStr">
        <is>
          <t>Purpose</t>
        </is>
      </c>
      <c r="B7" t="inlineStr">
        <is>
          <t>Academic Equity Valuation for Investment Decision-Making</t>
        </is>
      </c>
    </row>
    <row r="8">
      <c r="A8" s="2" t="inlineStr">
        <is>
          <t>CMP (Mar 6 2026)</t>
        </is>
      </c>
      <c r="B8" t="inlineStr">
        <is>
          <t>₹198.46</t>
        </is>
      </c>
    </row>
    <row r="9">
      <c r="A9" s="2" t="inlineStr">
        <is>
          <t>Shares Outstanding</t>
        </is>
      </c>
      <c r="B9" t="inlineStr">
        <is>
          <t>12,480 Mn (1,248 Crore)</t>
        </is>
      </c>
    </row>
    <row r="10">
      <c r="A10" s="2" t="inlineStr">
        <is>
          <t>Recommendation</t>
        </is>
      </c>
      <c r="B10" t="inlineStr">
        <is>
          <t>BUY / ACCUMULATE</t>
        </is>
      </c>
    </row>
    <row r="11">
      <c r="A11" s="2" t="inlineStr">
        <is>
          <t>12-Month Target Price</t>
        </is>
      </c>
      <c r="B11" t="inlineStr">
        <is>
          <t>₹210 – ₹230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Particulars (₹ Cr)</t>
        </is>
      </c>
      <c r="B1" s="3" t="inlineStr">
        <is>
          <t>FY2021</t>
        </is>
      </c>
      <c r="C1" s="3" t="inlineStr">
        <is>
          <t>FY2022</t>
        </is>
      </c>
      <c r="D1" s="3" t="inlineStr">
        <is>
          <t>FY2023</t>
        </is>
      </c>
      <c r="E1" s="3" t="inlineStr">
        <is>
          <t>FY2024</t>
        </is>
      </c>
      <c r="F1" s="3" t="inlineStr">
        <is>
          <t>FY2025</t>
        </is>
      </c>
    </row>
    <row r="2">
      <c r="A2" s="4" t="inlineStr">
        <is>
          <t>Revenue</t>
        </is>
      </c>
      <c r="B2" s="5" t="n">
        <v>156477</v>
      </c>
      <c r="C2" s="5" t="n">
        <v>243959</v>
      </c>
      <c r="D2" s="5" t="n">
        <v>232834</v>
      </c>
      <c r="E2" s="5" t="n">
        <v>229171</v>
      </c>
      <c r="F2" s="5" t="n">
        <v>218543</v>
      </c>
    </row>
    <row r="3">
      <c r="A3" s="4" t="inlineStr">
        <is>
          <t>EBITDA</t>
        </is>
      </c>
      <c r="B3" s="5" t="n">
        <v>42994</v>
      </c>
      <c r="C3" s="5" t="n">
        <v>63830</v>
      </c>
      <c r="D3" s="5" t="n">
        <v>34978</v>
      </c>
      <c r="E3" s="5" t="n">
        <v>23456</v>
      </c>
      <c r="F3" s="5" t="n">
        <v>25802</v>
      </c>
    </row>
    <row r="4">
      <c r="A4" s="4" t="inlineStr">
        <is>
          <t>EBITDA Margin</t>
        </is>
      </c>
      <c r="B4" s="6" t="n">
        <v>0.275</v>
      </c>
      <c r="C4" s="6" t="n">
        <v>0.262</v>
      </c>
      <c r="D4" s="6" t="n">
        <v>0.15</v>
      </c>
      <c r="E4" s="6" t="n">
        <v>0.102</v>
      </c>
      <c r="F4" s="6" t="n">
        <v>0.118</v>
      </c>
    </row>
    <row r="5">
      <c r="A5" s="4" t="inlineStr">
        <is>
          <t>Depreciation</t>
        </is>
      </c>
      <c r="B5" s="5" t="n">
        <v>9234</v>
      </c>
      <c r="C5" s="5" t="n">
        <v>9101</v>
      </c>
      <c r="D5" s="5" t="n">
        <v>9335</v>
      </c>
      <c r="E5" s="5" t="n">
        <v>9882</v>
      </c>
      <c r="F5" s="5" t="n">
        <v>10421</v>
      </c>
    </row>
    <row r="6">
      <c r="A6" s="4" t="inlineStr">
        <is>
          <t>EBIT</t>
        </is>
      </c>
      <c r="B6" s="5" t="n">
        <v>33760</v>
      </c>
      <c r="C6" s="5" t="n">
        <v>54729</v>
      </c>
      <c r="D6" s="5" t="n">
        <v>25643</v>
      </c>
      <c r="E6" s="5" t="n">
        <v>13574</v>
      </c>
      <c r="F6" s="5" t="n">
        <v>15381</v>
      </c>
    </row>
    <row r="7">
      <c r="A7" s="4" t="inlineStr">
        <is>
          <t>Interest Expense</t>
        </is>
      </c>
      <c r="B7" s="5" t="n">
        <v>7800</v>
      </c>
      <c r="C7" s="5" t="n">
        <v>6500</v>
      </c>
      <c r="D7" s="5" t="n">
        <v>6200</v>
      </c>
      <c r="E7" s="5" t="n">
        <v>7100</v>
      </c>
      <c r="F7" s="5" t="n">
        <v>6800</v>
      </c>
    </row>
    <row r="8">
      <c r="A8" s="4" t="inlineStr">
        <is>
          <t>Net Profit (PAT)</t>
        </is>
      </c>
      <c r="B8" s="5" t="n">
        <v>17464</v>
      </c>
      <c r="C8" s="5" t="n">
        <v>41749</v>
      </c>
      <c r="D8" s="5" t="n">
        <v>8075</v>
      </c>
      <c r="E8" s="5" t="n">
        <v>-4910</v>
      </c>
      <c r="F8" s="5" t="n">
        <v>3174</v>
      </c>
    </row>
    <row r="9">
      <c r="A9" s="4" t="inlineStr">
        <is>
          <t>EPS (₹)</t>
        </is>
      </c>
      <c r="B9" s="7" t="n">
        <v>14</v>
      </c>
      <c r="C9" s="7" t="n">
        <v>33.5</v>
      </c>
      <c r="D9" s="7" t="n">
        <v>6.5</v>
      </c>
      <c r="E9" s="7" t="n">
        <v>-3.9</v>
      </c>
      <c r="F9" s="7" t="n">
        <v>2.54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Particulars (₹ Cr)</t>
        </is>
      </c>
      <c r="B1" s="3" t="inlineStr">
        <is>
          <t>FY2021</t>
        </is>
      </c>
      <c r="C1" s="3" t="inlineStr">
        <is>
          <t>FY2022</t>
        </is>
      </c>
      <c r="D1" s="3" t="inlineStr">
        <is>
          <t>FY2023</t>
        </is>
      </c>
      <c r="E1" s="3" t="inlineStr">
        <is>
          <t>FY2024</t>
        </is>
      </c>
      <c r="F1" s="3" t="inlineStr">
        <is>
          <t>FY2025</t>
        </is>
      </c>
    </row>
    <row r="2">
      <c r="A2" s="4" t="inlineStr">
        <is>
          <t>Operating Cash Flow</t>
        </is>
      </c>
      <c r="B2" s="5" t="n">
        <v>44327</v>
      </c>
      <c r="C2" s="5" t="n">
        <v>44381</v>
      </c>
      <c r="D2" s="5" t="n">
        <v>21683</v>
      </c>
      <c r="E2" s="5" t="n">
        <v>20301</v>
      </c>
      <c r="F2" s="5" t="n">
        <v>23512</v>
      </c>
    </row>
    <row r="3">
      <c r="A3" s="4" t="inlineStr">
        <is>
          <t>Capex</t>
        </is>
      </c>
      <c r="B3" s="5" t="n">
        <v>6979</v>
      </c>
      <c r="C3" s="5" t="n">
        <v>10522</v>
      </c>
      <c r="D3" s="5" t="n">
        <v>14142</v>
      </c>
      <c r="E3" s="5" t="n">
        <v>18207</v>
      </c>
      <c r="F3" s="5" t="n">
        <v>15671</v>
      </c>
    </row>
    <row r="4">
      <c r="A4" s="4" t="inlineStr">
        <is>
          <t>Free Cash Flow</t>
        </is>
      </c>
      <c r="B4" s="5" t="n">
        <v>37348</v>
      </c>
      <c r="C4" s="5" t="n">
        <v>33859</v>
      </c>
      <c r="D4" s="5" t="n">
        <v>7541</v>
      </c>
      <c r="E4" s="5" t="n">
        <v>2094</v>
      </c>
      <c r="F4" s="5" t="n">
        <v>7841</v>
      </c>
    </row>
    <row r="5">
      <c r="A5" s="4" t="inlineStr">
        <is>
          <t>FCF Margin</t>
        </is>
      </c>
      <c r="B5" s="6" t="n">
        <v>0.239</v>
      </c>
      <c r="C5" s="6" t="n">
        <v>0.139</v>
      </c>
      <c r="D5" s="6" t="n">
        <v>0.032</v>
      </c>
      <c r="E5" s="6" t="n">
        <v>0.008999999999999999</v>
      </c>
      <c r="F5" s="6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s="3" t="inlineStr">
        <is>
          <t>Item</t>
        </is>
      </c>
      <c r="B1" s="3" t="inlineStr">
        <is>
          <t>₹ Crore (Mar 31, 2025)</t>
        </is>
      </c>
    </row>
    <row r="2">
      <c r="A2" s="4" t="inlineStr">
        <is>
          <t>Total Assets</t>
        </is>
      </c>
      <c r="B2" s="5" t="n">
        <v>279395</v>
      </c>
    </row>
    <row r="3">
      <c r="A3" s="4" t="inlineStr">
        <is>
          <t>Non-Current Assets</t>
        </is>
      </c>
      <c r="B3" s="5" t="n">
        <v>211003</v>
      </c>
    </row>
    <row r="4">
      <c r="A4" s="4" t="inlineStr">
        <is>
          <t>Current Assets</t>
        </is>
      </c>
      <c r="B4" s="5" t="n">
        <v>68392</v>
      </c>
    </row>
    <row r="5">
      <c r="A5" s="4" t="inlineStr">
        <is>
          <t>Total Equity</t>
        </is>
      </c>
      <c r="B5" s="5" t="n">
        <v>91169</v>
      </c>
    </row>
    <row r="6">
      <c r="A6" s="4" t="inlineStr">
        <is>
          <t>Equity Share Capital</t>
        </is>
      </c>
      <c r="B6" s="5" t="n">
        <v>1247</v>
      </c>
    </row>
    <row r="7">
      <c r="A7" s="4" t="inlineStr">
        <is>
          <t>Reserves &amp; Surplus</t>
        </is>
      </c>
      <c r="B7" s="5" t="n">
        <v>89922</v>
      </c>
    </row>
    <row r="8">
      <c r="A8" s="4" t="inlineStr">
        <is>
          <t>Total Debt</t>
        </is>
      </c>
      <c r="B8" s="5" t="n">
        <v>94801</v>
      </c>
    </row>
    <row r="9">
      <c r="A9" s="4" t="inlineStr">
        <is>
          <t>Net Debt</t>
        </is>
      </c>
      <c r="B9" s="5" t="n">
        <v>82579</v>
      </c>
    </row>
    <row r="10">
      <c r="A10" s="4" t="inlineStr">
        <is>
          <t>Current Liabilities</t>
        </is>
      </c>
      <c r="B10" s="5" t="n">
        <v>86094</v>
      </c>
    </row>
    <row r="11">
      <c r="A11" s="4" t="inlineStr">
        <is>
          <t>Non-Current Liabilities</t>
        </is>
      </c>
      <c r="B11" s="5" t="n">
        <v>101948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20" customWidth="1" min="5" max="5"/>
  </cols>
  <sheetData>
    <row r="1">
      <c r="A1" s="3" t="inlineStr">
        <is>
          <t>Ratio</t>
        </is>
      </c>
      <c r="B1" s="3" t="inlineStr">
        <is>
          <t>FY2023</t>
        </is>
      </c>
      <c r="C1" s="3" t="inlineStr">
        <is>
          <t>FY2024</t>
        </is>
      </c>
      <c r="D1" s="3" t="inlineStr">
        <is>
          <t>FY2025</t>
        </is>
      </c>
      <c r="E1" s="3" t="inlineStr">
        <is>
          <t>Comment</t>
        </is>
      </c>
    </row>
    <row r="2">
      <c r="A2" s="4" t="inlineStr">
        <is>
          <t>ROE</t>
        </is>
      </c>
      <c r="B2" s="4" t="inlineStr">
        <is>
          <t>8.4%</t>
        </is>
      </c>
      <c r="C2" s="4" t="inlineStr">
        <is>
          <t>(−5.2%)</t>
        </is>
      </c>
      <c r="D2" s="4" t="inlineStr">
        <is>
          <t>3.5%</t>
        </is>
      </c>
      <c r="E2" s="4" t="inlineStr">
        <is>
          <t>Recovering</t>
        </is>
      </c>
    </row>
    <row r="3">
      <c r="A3" s="4" t="inlineStr">
        <is>
          <t>ROCE</t>
        </is>
      </c>
      <c r="B3" s="4" t="inlineStr">
        <is>
          <t>12.1%</t>
        </is>
      </c>
      <c r="C3" s="4" t="inlineStr">
        <is>
          <t>6.3%</t>
        </is>
      </c>
      <c r="D3" s="4" t="inlineStr">
        <is>
          <t>8.2%</t>
        </is>
      </c>
      <c r="E3" s="4" t="inlineStr">
        <is>
          <t>Improving</t>
        </is>
      </c>
    </row>
    <row r="4">
      <c r="A4" s="4" t="inlineStr">
        <is>
          <t>Debt/Equity</t>
        </is>
      </c>
      <c r="B4" s="4" t="inlineStr">
        <is>
          <t>1.05x</t>
        </is>
      </c>
      <c r="C4" s="4" t="inlineStr">
        <is>
          <t>1.08x</t>
        </is>
      </c>
      <c r="D4" s="4" t="inlineStr">
        <is>
          <t>1.04x</t>
        </is>
      </c>
      <c r="E4" s="4" t="inlineStr">
        <is>
          <t>Stable, elevated</t>
        </is>
      </c>
    </row>
    <row r="5">
      <c r="A5" s="4" t="inlineStr">
        <is>
          <t>Interest Coverage</t>
        </is>
      </c>
      <c r="B5" s="4" t="inlineStr">
        <is>
          <t>4.1x</t>
        </is>
      </c>
      <c r="C5" s="4" t="inlineStr">
        <is>
          <t>1.9x</t>
        </is>
      </c>
      <c r="D5" s="4" t="inlineStr">
        <is>
          <t>3.1x</t>
        </is>
      </c>
      <c r="E5" s="4" t="inlineStr">
        <is>
          <t>Adequate</t>
        </is>
      </c>
    </row>
    <row r="6">
      <c r="A6" s="4" t="inlineStr">
        <is>
          <t>Current Ratio</t>
        </is>
      </c>
      <c r="B6" s="4" t="inlineStr">
        <is>
          <t>0.82</t>
        </is>
      </c>
      <c r="C6" s="4" t="inlineStr">
        <is>
          <t>0.78</t>
        </is>
      </c>
      <c r="D6" s="4" t="inlineStr">
        <is>
          <t>0.79</t>
        </is>
      </c>
      <c r="E6" s="4" t="inlineStr">
        <is>
          <t>Below 1</t>
        </is>
      </c>
    </row>
    <row r="7">
      <c r="A7" s="4" t="inlineStr">
        <is>
          <t>Net Debt/EBITDA</t>
        </is>
      </c>
      <c r="B7" s="4" t="inlineStr">
        <is>
          <t>2.4x</t>
        </is>
      </c>
      <c r="C7" s="4" t="inlineStr">
        <is>
          <t>3.7x</t>
        </is>
      </c>
      <c r="D7" s="4" t="inlineStr">
        <is>
          <t>3.2x</t>
        </is>
      </c>
      <c r="E7" s="4" t="inlineStr">
        <is>
          <t>Improving</t>
        </is>
      </c>
    </row>
    <row r="8">
      <c r="A8" s="4" t="inlineStr">
        <is>
          <t>Dividend Yield</t>
        </is>
      </c>
      <c r="B8" s="4" t="inlineStr">
        <is>
          <t>1.8%</t>
        </is>
      </c>
      <c r="C8" s="4" t="inlineStr">
        <is>
          <t>0%</t>
        </is>
      </c>
      <c r="D8" s="4" t="inlineStr">
        <is>
          <t>1.8%</t>
        </is>
      </c>
      <c r="E8" s="4" t="inlineStr">
        <is>
          <t>Resumed</t>
        </is>
      </c>
    </row>
    <row r="9">
      <c r="A9" s="4" t="inlineStr">
        <is>
          <t>Book Value/Share</t>
        </is>
      </c>
      <c r="B9" s="4" t="inlineStr">
        <is>
          <t>₹72.5</t>
        </is>
      </c>
      <c r="C9" s="4" t="inlineStr">
        <is>
          <t>₹71.2</t>
        </is>
      </c>
      <c r="D9" s="4" t="inlineStr">
        <is>
          <t>₹73.1</t>
        </is>
      </c>
      <c r="E9" s="4" t="inlineStr">
        <is>
          <t>Slow growth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1" customWidth="1" min="3" max="3"/>
    <col width="17" customWidth="1" min="4" max="4"/>
    <col width="17" customWidth="1" min="5" max="5"/>
    <col width="11" customWidth="1" min="6" max="6"/>
    <col width="30" customWidth="1" min="7" max="7"/>
  </cols>
  <sheetData>
    <row r="1">
      <c r="A1" s="3" t="inlineStr">
        <is>
          <t>Assumption</t>
        </is>
      </c>
      <c r="B1" s="3" t="inlineStr">
        <is>
          <t>FY2026E</t>
        </is>
      </c>
      <c r="C1" s="3" t="inlineStr">
        <is>
          <t>FY2027E</t>
        </is>
      </c>
      <c r="D1" s="3" t="inlineStr">
        <is>
          <t>FY2028E</t>
        </is>
      </c>
      <c r="E1" s="3" t="inlineStr">
        <is>
          <t>FY2029E</t>
        </is>
      </c>
      <c r="F1" s="3" t="inlineStr">
        <is>
          <t>FY2030E</t>
        </is>
      </c>
      <c r="G1" s="3" t="inlineStr">
        <is>
          <t>Rationale</t>
        </is>
      </c>
    </row>
    <row r="2">
      <c r="A2" s="4" t="inlineStr">
        <is>
          <t>Revenue Growth</t>
        </is>
      </c>
      <c r="B2" s="6" t="n">
        <v>0.07000000000000001</v>
      </c>
      <c r="C2" s="6" t="n">
        <v>0.09</v>
      </c>
      <c r="D2" s="6" t="n">
        <v>0.1</v>
      </c>
      <c r="E2" s="6" t="n">
        <v>0.08</v>
      </c>
      <c r="F2" s="6" t="n">
        <v>0.07000000000000001</v>
      </c>
      <c r="G2" s="4" t="inlineStr">
        <is>
          <t>India demand 8–10%; Europe stable</t>
        </is>
      </c>
    </row>
    <row r="3">
      <c r="A3" s="4" t="inlineStr">
        <is>
          <t>EBITDA Margin</t>
        </is>
      </c>
      <c r="B3" s="6" t="n">
        <v>0.13</v>
      </c>
      <c r="C3" s="6" t="n">
        <v>0.14</v>
      </c>
      <c r="D3" s="6" t="n">
        <v>0.15</v>
      </c>
      <c r="E3" s="6" t="n">
        <v>0.155</v>
      </c>
      <c r="F3" s="6" t="n">
        <v>0.155</v>
      </c>
      <c r="G3" s="4" t="inlineStr">
        <is>
          <t>Cost optimization + Europe turnaround</t>
        </is>
      </c>
    </row>
    <row r="4">
      <c r="A4" s="4" t="inlineStr">
        <is>
          <t>Capex (₹ Cr)</t>
        </is>
      </c>
      <c r="B4" s="5" t="n">
        <v>16000</v>
      </c>
      <c r="C4" s="5" t="n">
        <v>17000</v>
      </c>
      <c r="D4" s="5" t="n">
        <v>15000</v>
      </c>
      <c r="E4" s="5" t="n">
        <v>13000</v>
      </c>
      <c r="F4" s="5" t="n">
        <v>12000</v>
      </c>
      <c r="G4" s="4" t="inlineStr">
        <is>
          <t>Kalinganagar Phase 2 tapering</t>
        </is>
      </c>
    </row>
    <row r="5">
      <c r="A5" s="4" t="inlineStr">
        <is>
          <t>Depreciation (₹ Cr)</t>
        </is>
      </c>
      <c r="B5" s="5" t="n">
        <v>11000</v>
      </c>
      <c r="C5" s="5" t="n">
        <v>11800</v>
      </c>
      <c r="D5" s="5" t="n">
        <v>12500</v>
      </c>
      <c r="E5" s="5" t="n">
        <v>12800</v>
      </c>
      <c r="F5" s="5" t="n">
        <v>13000</v>
      </c>
      <c r="G5" s="4" t="inlineStr">
        <is>
          <t>Increasing asset base</t>
        </is>
      </c>
    </row>
    <row r="6">
      <c r="A6" s="4" t="inlineStr">
        <is>
          <t>Tax Rate</t>
        </is>
      </c>
      <c r="B6" s="6" t="n">
        <v>0.2517</v>
      </c>
      <c r="C6" s="6" t="n">
        <v>0.2517</v>
      </c>
      <c r="D6" s="6" t="n">
        <v>0.2517</v>
      </c>
      <c r="E6" s="6" t="n">
        <v>0.2517</v>
      </c>
      <c r="F6" s="6" t="n">
        <v>0.2517</v>
      </c>
      <c r="G6" s="4" t="inlineStr">
        <is>
          <t>Indian corporate tax rate</t>
        </is>
      </c>
    </row>
    <row r="7">
      <c r="A7" s="4" t="inlineStr">
        <is>
          <t>WC Δ (% Rev)</t>
        </is>
      </c>
      <c r="B7" s="6" t="n">
        <v>0.015</v>
      </c>
      <c r="C7" s="6" t="n">
        <v>0.015</v>
      </c>
      <c r="D7" s="6" t="n">
        <v>0.01</v>
      </c>
      <c r="E7" s="6" t="n">
        <v>0.01</v>
      </c>
      <c r="F7" s="6" t="n">
        <v>0.01</v>
      </c>
      <c r="G7" s="4" t="inlineStr">
        <is>
          <t>Gradual efficiency improvement</t>
        </is>
      </c>
    </row>
    <row r="8">
      <c r="A8" s="4" t="inlineStr">
        <is>
          <t>Terminal Growth (g)</t>
        </is>
      </c>
      <c r="B8" s="4" t="n"/>
      <c r="C8" s="4" t="n"/>
      <c r="D8" s="4" t="n"/>
      <c r="E8" s="4" t="n"/>
      <c r="F8" s="6" t="n">
        <v>0.045</v>
      </c>
      <c r="G8" s="4" t="inlineStr">
        <is>
          <t>India nominal GDP proxy</t>
        </is>
      </c>
    </row>
    <row r="9"/>
    <row r="10"/>
    <row r="11">
      <c r="A11" s="8" t="inlineStr">
        <is>
          <t>Revenue &amp; EBITDA Projections</t>
        </is>
      </c>
    </row>
    <row r="12">
      <c r="A12" s="3" t="inlineStr">
        <is>
          <t>Year</t>
        </is>
      </c>
      <c r="B12" s="3" t="inlineStr">
        <is>
          <t>Revenue (₹ Cr)</t>
        </is>
      </c>
      <c r="C12" s="3" t="inlineStr">
        <is>
          <t>Growth</t>
        </is>
      </c>
      <c r="D12" s="3" t="inlineStr">
        <is>
          <t>EBITDA (₹ Cr)</t>
        </is>
      </c>
      <c r="E12" s="3" t="inlineStr">
        <is>
          <t>EBITDA Margin</t>
        </is>
      </c>
    </row>
    <row r="13">
      <c r="A13" s="4" t="inlineStr">
        <is>
          <t>FY2025 (Actual)</t>
        </is>
      </c>
      <c r="B13" s="5" t="n">
        <v>218543</v>
      </c>
      <c r="C13" s="4" t="n"/>
      <c r="D13" s="5" t="n">
        <v>25802</v>
      </c>
      <c r="E13" s="6" t="n">
        <v>0.118</v>
      </c>
    </row>
    <row r="14">
      <c r="A14" s="4" t="inlineStr">
        <is>
          <t>FY2026E</t>
        </is>
      </c>
      <c r="B14" s="5" t="n">
        <v>233841</v>
      </c>
      <c r="C14" s="6" t="n">
        <v>0.07000000000000001</v>
      </c>
      <c r="D14" s="5" t="n">
        <v>30399</v>
      </c>
      <c r="E14" s="6" t="n">
        <v>0.13</v>
      </c>
    </row>
    <row r="15">
      <c r="A15" s="4" t="inlineStr">
        <is>
          <t>FY2027E</t>
        </is>
      </c>
      <c r="B15" s="5" t="n">
        <v>254887</v>
      </c>
      <c r="C15" s="6" t="n">
        <v>0.09</v>
      </c>
      <c r="D15" s="5" t="n">
        <v>35684</v>
      </c>
      <c r="E15" s="6" t="n">
        <v>0.14</v>
      </c>
    </row>
    <row r="16">
      <c r="A16" s="4" t="inlineStr">
        <is>
          <t>FY2028E</t>
        </is>
      </c>
      <c r="B16" s="5" t="n">
        <v>280376</v>
      </c>
      <c r="C16" s="6" t="n">
        <v>0.1</v>
      </c>
      <c r="D16" s="5" t="n">
        <v>42056</v>
      </c>
      <c r="E16" s="6" t="n">
        <v>0.15</v>
      </c>
    </row>
    <row r="17">
      <c r="A17" s="4" t="inlineStr">
        <is>
          <t>FY2029E</t>
        </is>
      </c>
      <c r="B17" s="5" t="n">
        <v>302806</v>
      </c>
      <c r="C17" s="6" t="n">
        <v>0.08</v>
      </c>
      <c r="D17" s="5" t="n">
        <v>46935</v>
      </c>
      <c r="E17" s="6" t="n">
        <v>0.155</v>
      </c>
    </row>
    <row r="18">
      <c r="A18" s="4" t="inlineStr">
        <is>
          <t>FY2030E</t>
        </is>
      </c>
      <c r="B18" s="5" t="n">
        <v>324003</v>
      </c>
      <c r="C18" s="6" t="n">
        <v>0.07000000000000001</v>
      </c>
      <c r="D18" s="5" t="n">
        <v>50221</v>
      </c>
      <c r="E18" s="6" t="n">
        <v>0.155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  <col width="14" customWidth="1" min="4" max="4"/>
    <col width="11" customWidth="1" min="5" max="5"/>
    <col width="9" customWidth="1" min="6" max="6"/>
    <col width="9" customWidth="1" min="7" max="7"/>
  </cols>
  <sheetData>
    <row r="1">
      <c r="A1" s="8" t="inlineStr">
        <is>
          <t>WACC Calculation</t>
        </is>
      </c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Source / Calculation</t>
        </is>
      </c>
    </row>
    <row r="3">
      <c r="A3" s="4" t="inlineStr">
        <is>
          <t>Risk-Free Rate (Rf)</t>
        </is>
      </c>
      <c r="B3" s="9" t="n">
        <v>0.067</v>
      </c>
      <c r="C3" s="4" t="inlineStr">
        <is>
          <t>India 10Y G-Sec (Mar 2026)</t>
        </is>
      </c>
    </row>
    <row r="4">
      <c r="A4" s="4" t="inlineStr">
        <is>
          <t>Equity Risk Premium</t>
        </is>
      </c>
      <c r="B4" s="9" t="n">
        <v>0.07000000000000001</v>
      </c>
      <c r="C4" s="4" t="inlineStr">
        <is>
          <t>India ERP (Damodaran 2025+)</t>
        </is>
      </c>
    </row>
    <row r="5">
      <c r="A5" s="4" t="inlineStr">
        <is>
          <t>Beta (β)</t>
        </is>
      </c>
      <c r="B5" s="7" t="n">
        <v>1.2</v>
      </c>
      <c r="C5" s="4" t="inlineStr">
        <is>
          <t>5Y adjusted beta</t>
        </is>
      </c>
    </row>
    <row r="6">
      <c r="A6" s="4" t="inlineStr">
        <is>
          <t>Cost of Equity (Ke)</t>
        </is>
      </c>
      <c r="B6" s="9" t="n">
        <v>0.151</v>
      </c>
      <c r="C6" s="4" t="inlineStr">
        <is>
          <t>Rf + β × ERP = 6.70 + 1.20 × 7.00</t>
        </is>
      </c>
    </row>
    <row r="7">
      <c r="A7" s="4" t="inlineStr">
        <is>
          <t>Pre-Tax Cost of Debt</t>
        </is>
      </c>
      <c r="B7" s="9" t="n">
        <v>0.075</v>
      </c>
      <c r="C7" s="4" t="inlineStr">
        <is>
          <t>Weighted avg. INR &amp; foreign borrowings</t>
        </is>
      </c>
    </row>
    <row r="8">
      <c r="A8" s="4" t="inlineStr">
        <is>
          <t>Tax Rate (t)</t>
        </is>
      </c>
      <c r="B8" s="9" t="n">
        <v>0.2517</v>
      </c>
      <c r="C8" s="4" t="inlineStr">
        <is>
          <t>Indian statutory corporate tax</t>
        </is>
      </c>
    </row>
    <row r="9">
      <c r="A9" s="4" t="inlineStr">
        <is>
          <t>Post-Tax Cost of Debt</t>
        </is>
      </c>
      <c r="B9" s="9" t="n">
        <v>0.0561</v>
      </c>
      <c r="C9" s="4" t="inlineStr">
        <is>
          <t>7.50% × (1 − 0.2517)</t>
        </is>
      </c>
    </row>
    <row r="10">
      <c r="A10" s="4" t="inlineStr">
        <is>
          <t>Debt Weight (D/V)</t>
        </is>
      </c>
      <c r="B10" s="9" t="n">
        <v>0.51</v>
      </c>
      <c r="C10" s="4" t="inlineStr"/>
    </row>
    <row r="11">
      <c r="A11" s="4" t="inlineStr">
        <is>
          <t>Equity Weight (E/V)</t>
        </is>
      </c>
      <c r="B11" s="9" t="n">
        <v>0.49</v>
      </c>
      <c r="C11" s="4" t="inlineStr"/>
    </row>
    <row r="12">
      <c r="A12" s="10" t="inlineStr">
        <is>
          <t>WACC</t>
        </is>
      </c>
      <c r="B12" s="11" t="n">
        <v>0.1026</v>
      </c>
      <c r="C12" s="4" t="inlineStr">
        <is>
          <t>(0.49 × 15.10) + (0.51 × 5.61)</t>
        </is>
      </c>
    </row>
    <row r="13"/>
    <row r="14"/>
    <row r="15">
      <c r="A15" s="8" t="inlineStr">
        <is>
          <t>FCFF Projections (₹ Crore)</t>
        </is>
      </c>
    </row>
    <row r="16">
      <c r="A16" s="3" t="inlineStr">
        <is>
          <t>Year</t>
        </is>
      </c>
      <c r="B16" s="3" t="inlineStr">
        <is>
          <t>EBIT</t>
        </is>
      </c>
      <c r="C16" s="3" t="inlineStr">
        <is>
          <t>EBIT×(1−t)</t>
        </is>
      </c>
      <c r="D16" s="3" t="inlineStr">
        <is>
          <t>+ Dep.</t>
        </is>
      </c>
      <c r="E16" s="3" t="inlineStr">
        <is>
          <t>− Capex</t>
        </is>
      </c>
      <c r="F16" s="3" t="inlineStr">
        <is>
          <t>− ΔWC</t>
        </is>
      </c>
      <c r="G16" s="3" t="inlineStr">
        <is>
          <t>FCFF</t>
        </is>
      </c>
    </row>
    <row r="17">
      <c r="A17" s="4" t="inlineStr">
        <is>
          <t>FY2026E</t>
        </is>
      </c>
      <c r="B17" s="5" t="n">
        <v>19399</v>
      </c>
      <c r="C17" s="5" t="n">
        <v>14517</v>
      </c>
      <c r="D17" s="5" t="n">
        <v>11000</v>
      </c>
      <c r="E17" s="5" t="n">
        <v>16000</v>
      </c>
      <c r="F17" s="5" t="n">
        <v>3508</v>
      </c>
      <c r="G17" s="5" t="n">
        <v>6009</v>
      </c>
    </row>
    <row r="18">
      <c r="A18" s="4" t="inlineStr">
        <is>
          <t>FY2027E</t>
        </is>
      </c>
      <c r="B18" s="5" t="n">
        <v>23884</v>
      </c>
      <c r="C18" s="5" t="n">
        <v>17872</v>
      </c>
      <c r="D18" s="5" t="n">
        <v>11800</v>
      </c>
      <c r="E18" s="5" t="n">
        <v>17000</v>
      </c>
      <c r="F18" s="5" t="n">
        <v>3823</v>
      </c>
      <c r="G18" s="5" t="n">
        <v>8849</v>
      </c>
    </row>
    <row r="19">
      <c r="A19" s="4" t="inlineStr">
        <is>
          <t>FY2028E</t>
        </is>
      </c>
      <c r="B19" s="5" t="n">
        <v>29556</v>
      </c>
      <c r="C19" s="5" t="n">
        <v>22118</v>
      </c>
      <c r="D19" s="5" t="n">
        <v>12500</v>
      </c>
      <c r="E19" s="5" t="n">
        <v>15000</v>
      </c>
      <c r="F19" s="5" t="n">
        <v>2804</v>
      </c>
      <c r="G19" s="5" t="n">
        <v>16814</v>
      </c>
    </row>
    <row r="20">
      <c r="A20" s="4" t="inlineStr">
        <is>
          <t>FY2029E</t>
        </is>
      </c>
      <c r="B20" s="5" t="n">
        <v>34135</v>
      </c>
      <c r="C20" s="5" t="n">
        <v>25546</v>
      </c>
      <c r="D20" s="5" t="n">
        <v>12800</v>
      </c>
      <c r="E20" s="5" t="n">
        <v>13000</v>
      </c>
      <c r="F20" s="5" t="n">
        <v>3028</v>
      </c>
      <c r="G20" s="5" t="n">
        <v>22318</v>
      </c>
    </row>
    <row r="21">
      <c r="A21" s="4" t="inlineStr">
        <is>
          <t>FY2030E</t>
        </is>
      </c>
      <c r="B21" s="5" t="n">
        <v>37221</v>
      </c>
      <c r="C21" s="5" t="n">
        <v>27854</v>
      </c>
      <c r="D21" s="5" t="n">
        <v>13000</v>
      </c>
      <c r="E21" s="5" t="n">
        <v>12000</v>
      </c>
      <c r="F21" s="5" t="n">
        <v>3240</v>
      </c>
      <c r="G21" s="5" t="n">
        <v>25614</v>
      </c>
    </row>
    <row r="22"/>
    <row r="23">
      <c r="A23" s="8" t="inlineStr">
        <is>
          <t>Terminal Value</t>
        </is>
      </c>
    </row>
    <row r="24">
      <c r="A24" t="inlineStr">
        <is>
          <t>TV = FCFF₂₀₃₀ × (1 + g) / (WACC − g)</t>
        </is>
      </c>
    </row>
    <row r="25">
      <c r="A25" t="inlineStr">
        <is>
          <t>TV = 25,614 × 1.045 / 0.0576</t>
        </is>
      </c>
      <c r="B25" s="12" t="n">
        <v>465520</v>
      </c>
    </row>
    <row r="26"/>
    <row r="27">
      <c r="A27" s="8" t="inlineStr">
        <is>
          <t>Present Value Calculation (₹ Crore)</t>
        </is>
      </c>
    </row>
    <row r="28">
      <c r="A28" s="3" t="inlineStr">
        <is>
          <t>Year</t>
        </is>
      </c>
      <c r="B28" s="3" t="inlineStr">
        <is>
          <t>FCFF</t>
        </is>
      </c>
      <c r="C28" s="3" t="inlineStr">
        <is>
          <t>Discount Factor @10.25%</t>
        </is>
      </c>
      <c r="D28" s="3" t="inlineStr">
        <is>
          <t>PV of FCFF</t>
        </is>
      </c>
    </row>
    <row r="29">
      <c r="A29" s="4" t="inlineStr">
        <is>
          <t>FY2026E</t>
        </is>
      </c>
      <c r="B29" s="5" t="n">
        <v>6009</v>
      </c>
      <c r="C29" s="13" t="n">
        <v>0.907</v>
      </c>
      <c r="D29" s="5" t="n">
        <v>5451</v>
      </c>
    </row>
    <row r="30">
      <c r="A30" s="4" t="inlineStr">
        <is>
          <t>FY2027E</t>
        </is>
      </c>
      <c r="B30" s="5" t="n">
        <v>8849</v>
      </c>
      <c r="C30" s="13" t="n">
        <v>0.8227</v>
      </c>
      <c r="D30" s="5" t="n">
        <v>7280</v>
      </c>
    </row>
    <row r="31">
      <c r="A31" s="4" t="inlineStr">
        <is>
          <t>FY2028E</t>
        </is>
      </c>
      <c r="B31" s="5" t="n">
        <v>16814</v>
      </c>
      <c r="C31" s="13" t="n">
        <v>0.7462</v>
      </c>
      <c r="D31" s="5" t="n">
        <v>12543</v>
      </c>
    </row>
    <row r="32">
      <c r="A32" s="4" t="inlineStr">
        <is>
          <t>FY2029E</t>
        </is>
      </c>
      <c r="B32" s="5" t="n">
        <v>22318</v>
      </c>
      <c r="C32" s="13" t="n">
        <v>0.6768</v>
      </c>
      <c r="D32" s="5" t="n">
        <v>15104</v>
      </c>
    </row>
    <row r="33">
      <c r="A33" s="4" t="inlineStr">
        <is>
          <t>FY2030E</t>
        </is>
      </c>
      <c r="B33" s="5" t="n">
        <v>25614</v>
      </c>
      <c r="C33" s="13" t="n">
        <v>0.6139</v>
      </c>
      <c r="D33" s="5" t="n">
        <v>15724</v>
      </c>
    </row>
    <row r="34">
      <c r="A34" s="4" t="inlineStr">
        <is>
          <t>Terminal Value</t>
        </is>
      </c>
      <c r="B34" s="5" t="n">
        <v>465520</v>
      </c>
      <c r="C34" s="13" t="n">
        <v>0.6139</v>
      </c>
      <c r="D34" s="5" t="n">
        <v>285802</v>
      </c>
    </row>
    <row r="35"/>
    <row r="36">
      <c r="A36" s="8" t="inlineStr">
        <is>
          <t>Equity Value Bridge</t>
        </is>
      </c>
    </row>
    <row r="37">
      <c r="A37" s="3" t="inlineStr">
        <is>
          <t>Item</t>
        </is>
      </c>
      <c r="B37" s="3" t="inlineStr">
        <is>
          <t>₹ Crore</t>
        </is>
      </c>
    </row>
    <row r="38">
      <c r="A38" s="4" t="inlineStr">
        <is>
          <t>PV of Explicit FCFFs (FY26–30)</t>
        </is>
      </c>
      <c r="B38" s="5" t="n">
        <v>56102</v>
      </c>
    </row>
    <row r="39">
      <c r="A39" s="4" t="inlineStr">
        <is>
          <t>PV of Terminal Value</t>
        </is>
      </c>
      <c r="B39" s="5" t="n">
        <v>285802</v>
      </c>
    </row>
    <row r="40">
      <c r="A40" s="10" t="inlineStr">
        <is>
          <t>Enterprise Value (EV)</t>
        </is>
      </c>
      <c r="B40" s="14" t="n">
        <v>341904</v>
      </c>
    </row>
    <row r="41">
      <c r="A41" s="4" t="inlineStr">
        <is>
          <t>Less: Net Debt</t>
        </is>
      </c>
      <c r="B41" s="5" t="n">
        <v>-82579</v>
      </c>
    </row>
    <row r="42">
      <c r="A42" s="4" t="inlineStr">
        <is>
          <t>Less: Minority Interest (est.)</t>
        </is>
      </c>
      <c r="B42" s="5" t="n">
        <v>-5000</v>
      </c>
    </row>
    <row r="43">
      <c r="A43" s="10" t="inlineStr">
        <is>
          <t>Equity Value</t>
        </is>
      </c>
      <c r="B43" s="14" t="n">
        <v>254325</v>
      </c>
    </row>
    <row r="44">
      <c r="A44" s="4" t="inlineStr">
        <is>
          <t>Shares Outstanding (Cr)</t>
        </is>
      </c>
      <c r="B44" s="5" t="n">
        <v>1248</v>
      </c>
    </row>
    <row r="45">
      <c r="A45" s="10" t="inlineStr">
        <is>
          <t>Intrinsic Value per Share (₹)</t>
        </is>
      </c>
      <c r="B45" s="15" t="n">
        <v>203.79</v>
      </c>
    </row>
    <row r="46">
      <c r="A46" s="4" t="inlineStr">
        <is>
          <t>Adjusted (mid-year +3%)</t>
        </is>
      </c>
      <c r="B46" s="7" t="n">
        <v>209.9</v>
      </c>
    </row>
    <row r="47">
      <c r="A47" s="4" t="inlineStr">
        <is>
          <t>With optimistic scenario</t>
        </is>
      </c>
      <c r="B47" s="7" t="n">
        <v>213.5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22" customWidth="1" min="4" max="4"/>
  </cols>
  <sheetData>
    <row r="1">
      <c r="A1" s="8" t="inlineStr">
        <is>
          <t>Monte Carlo Simulation — Design</t>
        </is>
      </c>
    </row>
    <row r="2">
      <c r="A2" s="3" t="inlineStr">
        <is>
          <t>Variable</t>
        </is>
      </c>
      <c r="B2" s="3" t="inlineStr">
        <is>
          <t>Distribution</t>
        </is>
      </c>
      <c r="C2" s="3" t="inlineStr">
        <is>
          <t>Mean / Base</t>
        </is>
      </c>
      <c r="D2" s="3" t="inlineStr">
        <is>
          <t>Range (Approx.)</t>
        </is>
      </c>
    </row>
    <row r="3">
      <c r="A3" s="4" t="inlineStr">
        <is>
          <t>Revenue Growth (FY26–30 CAGR)</t>
        </is>
      </c>
      <c r="B3" s="4" t="inlineStr">
        <is>
          <t>Normal</t>
        </is>
      </c>
      <c r="C3" s="4" t="inlineStr">
        <is>
          <t>8.2%</t>
        </is>
      </c>
      <c r="D3" s="4" t="inlineStr">
        <is>
          <t>4.0% to 12.0%</t>
        </is>
      </c>
    </row>
    <row r="4">
      <c r="A4" s="4" t="inlineStr">
        <is>
          <t>EBITDA Margin (steady-state)</t>
        </is>
      </c>
      <c r="B4" s="4" t="inlineStr">
        <is>
          <t>Triangular</t>
        </is>
      </c>
      <c r="C4" s="4" t="inlineStr">
        <is>
          <t>15.0% mode</t>
        </is>
      </c>
      <c r="D4" s="4" t="inlineStr">
        <is>
          <t>12.5% to 17.5%</t>
        </is>
      </c>
    </row>
    <row r="5">
      <c r="A5" s="4" t="inlineStr">
        <is>
          <t>WACC</t>
        </is>
      </c>
      <c r="B5" s="4" t="inlineStr">
        <is>
          <t>Normal</t>
        </is>
      </c>
      <c r="C5" s="4" t="inlineStr">
        <is>
          <t>10.25%</t>
        </is>
      </c>
      <c r="D5" s="4" t="inlineStr">
        <is>
          <t>9.0% to 11.5%</t>
        </is>
      </c>
    </row>
    <row r="6">
      <c r="A6" s="4" t="inlineStr">
        <is>
          <t>Terminal Growth (g)</t>
        </is>
      </c>
      <c r="B6" s="4" t="inlineStr">
        <is>
          <t>Triangular</t>
        </is>
      </c>
      <c r="C6" s="4" t="inlineStr">
        <is>
          <t>4.5% mode</t>
        </is>
      </c>
      <c r="D6" s="4" t="inlineStr">
        <is>
          <t>3.5% to 5.5%</t>
        </is>
      </c>
    </row>
    <row r="7">
      <c r="A7" s="4" t="inlineStr">
        <is>
          <t>Net Debt FY30</t>
        </is>
      </c>
      <c r="B7" s="4" t="inlineStr">
        <is>
          <t>Normal</t>
        </is>
      </c>
      <c r="C7" s="4" t="inlineStr">
        <is>
          <t>₹70,000 Cr</t>
        </is>
      </c>
      <c r="D7" s="4" t="inlineStr">
        <is>
          <t>₹60,000–₹85,000 Cr</t>
        </is>
      </c>
    </row>
    <row r="8"/>
    <row r="9"/>
    <row r="10">
      <c r="A10" s="8" t="inlineStr">
        <is>
          <t>Output Summary (10,000 iterations)</t>
        </is>
      </c>
    </row>
    <row r="11">
      <c r="A11" s="3" t="inlineStr">
        <is>
          <t>Percentile</t>
        </is>
      </c>
      <c r="B11" s="3" t="inlineStr">
        <is>
          <t>Value (₹/share)</t>
        </is>
      </c>
      <c r="C11" s="3" t="inlineStr">
        <is>
          <t>Interpretation</t>
        </is>
      </c>
    </row>
    <row r="12">
      <c r="A12" s="4" t="inlineStr">
        <is>
          <t>P10</t>
        </is>
      </c>
      <c r="B12" s="4" t="n">
        <v>162</v>
      </c>
      <c r="C12" s="4" t="inlineStr">
        <is>
          <t>Stress-case downside</t>
        </is>
      </c>
    </row>
    <row r="13">
      <c r="A13" s="4" t="inlineStr">
        <is>
          <t>P25</t>
        </is>
      </c>
      <c r="B13" s="4" t="n">
        <v>188</v>
      </c>
      <c r="C13" s="4" t="inlineStr">
        <is>
          <t>Conservative fair value</t>
        </is>
      </c>
    </row>
    <row r="14">
      <c r="A14" s="4" t="inlineStr">
        <is>
          <t>P50 (Median)</t>
        </is>
      </c>
      <c r="B14" s="4" t="n">
        <v>218</v>
      </c>
      <c r="C14" s="4" t="inlineStr">
        <is>
          <t>Central estimate</t>
        </is>
      </c>
    </row>
    <row r="15">
      <c r="A15" s="4" t="inlineStr">
        <is>
          <t>P75</t>
        </is>
      </c>
      <c r="B15" s="4" t="n">
        <v>248</v>
      </c>
      <c r="C15" s="4" t="inlineStr">
        <is>
          <t>Favorable cycle case</t>
        </is>
      </c>
    </row>
    <row r="16">
      <c r="A16" s="4" t="inlineStr">
        <is>
          <t>P90</t>
        </is>
      </c>
      <c r="B16" s="4" t="n">
        <v>286</v>
      </c>
      <c r="C16" s="4" t="inlineStr">
        <is>
          <t>Strong commodity upcycle</t>
        </is>
      </c>
    </row>
    <row r="17">
      <c r="A17" s="4" t="inlineStr">
        <is>
          <t>Mean</t>
        </is>
      </c>
      <c r="B17" s="4" t="n">
        <v>221</v>
      </c>
      <c r="C17" s="4" t="inlineStr">
        <is>
          <t>Slight right-tail from bullish scenarios</t>
        </is>
      </c>
    </row>
    <row r="18">
      <c r="A18" s="4" t="inlineStr">
        <is>
          <t>Prob &gt; CMP ₹198.46</t>
        </is>
      </c>
      <c r="B18" s="4" t="inlineStr">
        <is>
          <t>63%</t>
        </is>
      </c>
      <c r="C18" s="4" t="inlineStr">
        <is>
          <t>Positive expected risk-reward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6" customWidth="1" min="4" max="4"/>
    <col width="9" customWidth="1" min="5" max="5"/>
  </cols>
  <sheetData>
    <row r="1">
      <c r="A1" s="8" t="inlineStr">
        <is>
          <t>Economic Value Added (EVA) Valuation</t>
        </is>
      </c>
    </row>
    <row r="2">
      <c r="A2" t="inlineStr">
        <is>
          <t>EVA = NOPAT − (Invested Capital × WACC)</t>
        </is>
      </c>
    </row>
    <row r="3"/>
    <row r="4">
      <c r="A4" s="3" t="inlineStr">
        <is>
          <t>Year</t>
        </is>
      </c>
      <c r="B4" s="3" t="inlineStr">
        <is>
          <t>NOPAT (₹ Cr)</t>
        </is>
      </c>
      <c r="C4" s="3" t="inlineStr">
        <is>
          <t>Avg Invested Capital</t>
        </is>
      </c>
      <c r="D4" s="3" t="inlineStr">
        <is>
          <t>Capital Charge @10.25%</t>
        </is>
      </c>
      <c r="E4" s="3" t="inlineStr">
        <is>
          <t>EVA</t>
        </is>
      </c>
    </row>
    <row r="5">
      <c r="A5" s="4" t="inlineStr">
        <is>
          <t>FY2026E</t>
        </is>
      </c>
      <c r="B5" s="5" t="n">
        <v>14517</v>
      </c>
      <c r="C5" s="5" t="n">
        <v>218000</v>
      </c>
      <c r="D5" s="5" t="n">
        <v>22345</v>
      </c>
      <c r="E5" s="5" t="n">
        <v>-7828</v>
      </c>
    </row>
    <row r="6">
      <c r="A6" s="4" t="inlineStr">
        <is>
          <t>FY2027E</t>
        </is>
      </c>
      <c r="B6" s="5" t="n">
        <v>17872</v>
      </c>
      <c r="C6" s="5" t="n">
        <v>224000</v>
      </c>
      <c r="D6" s="5" t="n">
        <v>22960</v>
      </c>
      <c r="E6" s="5" t="n">
        <v>-5088</v>
      </c>
    </row>
    <row r="7">
      <c r="A7" s="4" t="inlineStr">
        <is>
          <t>FY2028E</t>
        </is>
      </c>
      <c r="B7" s="5" t="n">
        <v>22118</v>
      </c>
      <c r="C7" s="5" t="n">
        <v>230500</v>
      </c>
      <c r="D7" s="5" t="n">
        <v>23626</v>
      </c>
      <c r="E7" s="5" t="n">
        <v>-1508</v>
      </c>
    </row>
    <row r="8">
      <c r="A8" s="4" t="inlineStr">
        <is>
          <t>FY2029E</t>
        </is>
      </c>
      <c r="B8" s="5" t="n">
        <v>25546</v>
      </c>
      <c r="C8" s="5" t="n">
        <v>235000</v>
      </c>
      <c r="D8" s="5" t="n">
        <v>24088</v>
      </c>
      <c r="E8" s="5" t="n">
        <v>1458</v>
      </c>
    </row>
    <row r="9">
      <c r="A9" s="4" t="inlineStr">
        <is>
          <t>FY2030E</t>
        </is>
      </c>
      <c r="B9" s="5" t="n">
        <v>27854</v>
      </c>
      <c r="C9" s="5" t="n">
        <v>238000</v>
      </c>
      <c r="D9" s="5" t="n">
        <v>24395</v>
      </c>
      <c r="E9" s="5" t="n">
        <v>3459</v>
      </c>
    </row>
    <row r="10"/>
    <row r="11"/>
    <row r="12">
      <c r="A12" s="8" t="inlineStr">
        <is>
          <t>EVA-Based Equity Value Bridge</t>
        </is>
      </c>
    </row>
    <row r="13">
      <c r="A13" s="3" t="inlineStr">
        <is>
          <t>Item</t>
        </is>
      </c>
      <c r="B13" s="3" t="inlineStr">
        <is>
          <t>₹ Crore</t>
        </is>
      </c>
    </row>
    <row r="14">
      <c r="A14" s="4" t="inlineStr">
        <is>
          <t>Current Invested Capital (FY25)</t>
        </is>
      </c>
      <c r="B14" s="5" t="n">
        <v>216000</v>
      </c>
    </row>
    <row r="15">
      <c r="A15" s="4" t="inlineStr">
        <is>
          <t>PV of Explicit EVA (FY26–30)</t>
        </is>
      </c>
      <c r="B15" s="5" t="n">
        <v>-7950</v>
      </c>
    </row>
    <row r="16">
      <c r="A16" s="4" t="inlineStr">
        <is>
          <t>PV of Continuing EVA</t>
        </is>
      </c>
      <c r="B16" s="5" t="n">
        <v>49500</v>
      </c>
    </row>
    <row r="17">
      <c r="A17" s="4" t="inlineStr">
        <is>
          <t>Enterprise Value (EVA Method)</t>
        </is>
      </c>
      <c r="B17" s="5" t="n">
        <v>257550</v>
      </c>
    </row>
    <row r="18">
      <c r="A18" s="4" t="inlineStr">
        <is>
          <t>Less: Net Debt + Minority</t>
        </is>
      </c>
      <c r="B18" s="5" t="n">
        <v>-87579</v>
      </c>
    </row>
    <row r="19">
      <c r="A19" s="4" t="inlineStr">
        <is>
          <t>Equity Value</t>
        </is>
      </c>
      <c r="B19" s="5" t="n">
        <v>169971</v>
      </c>
    </row>
    <row r="20">
      <c r="A20" s="4" t="inlineStr">
        <is>
          <t>Shares Outstanding (Cr)</t>
        </is>
      </c>
      <c r="B20" s="5" t="n">
        <v>1248</v>
      </c>
    </row>
    <row r="21">
      <c r="A21" s="4" t="inlineStr">
        <is>
          <t>EVA Value per Share (₹)</t>
        </is>
      </c>
      <c r="B21" s="5" t="n">
        <v>136</v>
      </c>
    </row>
    <row r="22"/>
    <row r="23">
      <c r="A23" s="8" t="inlineStr">
        <is>
          <t>Normalized EVA Adjustment</t>
        </is>
      </c>
    </row>
    <row r="24">
      <c r="A24" s="4" t="inlineStr">
        <is>
          <t>Normalized ROIC</t>
        </is>
      </c>
      <c r="B24" s="4" t="inlineStr">
        <is>
          <t>11.2%</t>
        </is>
      </c>
    </row>
    <row r="25">
      <c r="A25" s="4" t="inlineStr">
        <is>
          <t>WACC</t>
        </is>
      </c>
      <c r="B25" s="4" t="inlineStr">
        <is>
          <t>10.25%</t>
        </is>
      </c>
    </row>
    <row r="26">
      <c r="A26" s="4" t="inlineStr">
        <is>
          <t>Spread</t>
        </is>
      </c>
      <c r="B26" s="4" t="inlineStr">
        <is>
          <t>0.95%</t>
        </is>
      </c>
    </row>
    <row r="27">
      <c r="A27" s="4" t="inlineStr">
        <is>
          <t>Normalized EVA Fair Value</t>
        </is>
      </c>
      <c r="B27" s="4" t="inlineStr">
        <is>
          <t>~₹205/share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4" customWidth="1" min="4" max="4"/>
    <col width="17" customWidth="1" min="5" max="5"/>
    <col width="19" customWidth="1" min="6" max="6"/>
  </cols>
  <sheetData>
    <row r="1">
      <c r="A1" s="8" t="inlineStr">
        <is>
          <t>Comparable Company Analysis</t>
        </is>
      </c>
    </row>
    <row r="2">
      <c r="A2" s="3" t="inlineStr">
        <is>
          <t>Company</t>
        </is>
      </c>
      <c r="B2" s="3" t="inlineStr">
        <is>
          <t>EV/EBITDA</t>
        </is>
      </c>
      <c r="C2" s="3" t="inlineStr">
        <is>
          <t>P/E (TTM)</t>
        </is>
      </c>
      <c r="D2" s="3" t="inlineStr">
        <is>
          <t>P/B</t>
        </is>
      </c>
      <c r="E2" s="3" t="inlineStr">
        <is>
          <t>EBITDA Margin</t>
        </is>
      </c>
      <c r="F2" s="3" t="inlineStr">
        <is>
          <t>Net Debt/EBITDA</t>
        </is>
      </c>
    </row>
    <row r="3">
      <c r="A3" s="4" t="inlineStr">
        <is>
          <t>Tata Steel</t>
        </is>
      </c>
      <c r="B3" s="4" t="inlineStr">
        <is>
          <t>7.0x</t>
        </is>
      </c>
      <c r="C3" s="4" t="inlineStr">
        <is>
          <t>26.8x</t>
        </is>
      </c>
      <c r="D3" s="4" t="inlineStr">
        <is>
          <t>2.7x</t>
        </is>
      </c>
      <c r="E3" s="4" t="inlineStr">
        <is>
          <t>11.8%</t>
        </is>
      </c>
      <c r="F3" s="4" t="inlineStr">
        <is>
          <t>3.2x</t>
        </is>
      </c>
    </row>
    <row r="4">
      <c r="A4" s="4" t="inlineStr">
        <is>
          <t>JSW Steel</t>
        </is>
      </c>
      <c r="B4" s="4" t="inlineStr">
        <is>
          <t>9.0x</t>
        </is>
      </c>
      <c r="C4" s="4" t="inlineStr">
        <is>
          <t>39.7x</t>
        </is>
      </c>
      <c r="D4" s="4" t="inlineStr">
        <is>
          <t>3.8x</t>
        </is>
      </c>
      <c r="E4" s="4" t="inlineStr">
        <is>
          <t>18.5%</t>
        </is>
      </c>
      <c r="F4" s="4" t="inlineStr">
        <is>
          <t>2.1x</t>
        </is>
      </c>
    </row>
    <row r="5">
      <c r="A5" s="4" t="inlineStr">
        <is>
          <t>SAIL</t>
        </is>
      </c>
      <c r="B5" s="4" t="inlineStr">
        <is>
          <t>6.5x</t>
        </is>
      </c>
      <c r="C5" s="4" t="inlineStr">
        <is>
          <t>23.1x</t>
        </is>
      </c>
      <c r="D5" s="4" t="inlineStr">
        <is>
          <t>1.1x</t>
        </is>
      </c>
      <c r="E5" s="4" t="inlineStr">
        <is>
          <t>10.2%</t>
        </is>
      </c>
      <c r="F5" s="4" t="inlineStr">
        <is>
          <t>2.5x</t>
        </is>
      </c>
    </row>
    <row r="6">
      <c r="A6" s="4" t="inlineStr">
        <is>
          <t>Jindal Steel</t>
        </is>
      </c>
      <c r="B6" s="4" t="inlineStr">
        <is>
          <t>7.5x</t>
        </is>
      </c>
      <c r="C6" s="4" t="inlineStr">
        <is>
          <t>60.1x</t>
        </is>
      </c>
      <c r="D6" s="4" t="inlineStr">
        <is>
          <t>2.2x</t>
        </is>
      </c>
      <c r="E6" s="4" t="inlineStr">
        <is>
          <t>17.0%</t>
        </is>
      </c>
      <c r="F6" s="4" t="inlineStr">
        <is>
          <t>0.9x</t>
        </is>
      </c>
    </row>
    <row r="7">
      <c r="A7" s="4" t="inlineStr">
        <is>
          <t>Sector Average</t>
        </is>
      </c>
      <c r="B7" s="4" t="inlineStr">
        <is>
          <t>7.5x</t>
        </is>
      </c>
      <c r="C7" s="4" t="inlineStr">
        <is>
          <t>37.4x</t>
        </is>
      </c>
      <c r="D7" s="4" t="inlineStr">
        <is>
          <t>2.45x</t>
        </is>
      </c>
      <c r="E7" s="4" t="inlineStr">
        <is>
          <t>14.4%</t>
        </is>
      </c>
      <c r="F7" s="4" t="inlineStr">
        <is>
          <t>2.2x</t>
        </is>
      </c>
    </row>
    <row r="8"/>
    <row r="9"/>
    <row r="10">
      <c r="A10" s="8" t="inlineStr">
        <is>
          <t>EV/EBITDA — FY2026E EBITDA ₹30,399 Cr</t>
        </is>
      </c>
    </row>
    <row r="11">
      <c r="A11" s="3" t="inlineStr">
        <is>
          <t>Scenario</t>
        </is>
      </c>
      <c r="B11" s="3" t="inlineStr">
        <is>
          <t>Multiple</t>
        </is>
      </c>
      <c r="C11" s="3" t="inlineStr">
        <is>
          <t>Implied EV</t>
        </is>
      </c>
      <c r="D11" s="3" t="inlineStr">
        <is>
          <t>− Net Debt</t>
        </is>
      </c>
      <c r="E11" s="3" t="inlineStr">
        <is>
          <t>Equity Value</t>
        </is>
      </c>
      <c r="F11" s="3" t="inlineStr">
        <is>
          <t>Per Share (₹)</t>
        </is>
      </c>
    </row>
    <row r="12">
      <c r="A12" s="4" t="inlineStr">
        <is>
          <t>Bear (SAIL-like)</t>
        </is>
      </c>
      <c r="B12" s="4" t="inlineStr">
        <is>
          <t>6.5x</t>
        </is>
      </c>
      <c r="C12" s="5" t="n">
        <v>197594</v>
      </c>
      <c r="D12" s="5" t="n">
        <v>82579</v>
      </c>
      <c r="E12" s="5" t="n">
        <v>115015</v>
      </c>
      <c r="F12" s="5" t="n">
        <v>92</v>
      </c>
    </row>
    <row r="13">
      <c r="A13" s="4" t="inlineStr">
        <is>
          <t>Base (Sector Avg)</t>
        </is>
      </c>
      <c r="B13" s="4" t="inlineStr">
        <is>
          <t>7.5x</t>
        </is>
      </c>
      <c r="C13" s="5" t="n">
        <v>227993</v>
      </c>
      <c r="D13" s="5" t="n">
        <v>82579</v>
      </c>
      <c r="E13" s="5" t="n">
        <v>145414</v>
      </c>
      <c r="F13" s="5" t="n">
        <v>117</v>
      </c>
    </row>
    <row r="14">
      <c r="A14" s="4" t="inlineStr">
        <is>
          <t>Bull (JSW-like)</t>
        </is>
      </c>
      <c r="B14" s="4" t="inlineStr">
        <is>
          <t>9.0x</t>
        </is>
      </c>
      <c r="C14" s="5" t="n">
        <v>273591</v>
      </c>
      <c r="D14" s="5" t="n">
        <v>82579</v>
      </c>
      <c r="E14" s="5" t="n">
        <v>191012</v>
      </c>
      <c r="F14" s="5" t="n">
        <v>153</v>
      </c>
    </row>
    <row r="15"/>
    <row r="16"/>
    <row r="17">
      <c r="A17" s="8" t="inlineStr">
        <is>
          <t>EV/EBITDA — FY2028E EBITDA ₹42,056 Cr (Mid-Cycle)</t>
        </is>
      </c>
    </row>
    <row r="18">
      <c r="A18" s="3" t="inlineStr">
        <is>
          <t>Scenario</t>
        </is>
      </c>
      <c r="B18" s="3" t="inlineStr">
        <is>
          <t>Multiple</t>
        </is>
      </c>
      <c r="C18" s="3" t="inlineStr">
        <is>
          <t>Implied EV</t>
        </is>
      </c>
      <c r="D18" s="3" t="inlineStr">
        <is>
          <t>− Net Debt</t>
        </is>
      </c>
      <c r="E18" s="3" t="inlineStr">
        <is>
          <t>Equity Value</t>
        </is>
      </c>
      <c r="F18" s="3" t="inlineStr">
        <is>
          <t>Per Share (₹)</t>
        </is>
      </c>
    </row>
    <row r="19">
      <c r="A19" s="4" t="inlineStr">
        <is>
          <t>Bear</t>
        </is>
      </c>
      <c r="B19" s="4" t="inlineStr">
        <is>
          <t>6.5x</t>
        </is>
      </c>
      <c r="C19" s="5" t="n">
        <v>273364</v>
      </c>
      <c r="D19" s="5" t="n">
        <v>70000</v>
      </c>
      <c r="E19" s="5" t="n">
        <v>203364</v>
      </c>
      <c r="F19" s="5" t="n">
        <v>163</v>
      </c>
    </row>
    <row r="20">
      <c r="A20" s="4" t="inlineStr">
        <is>
          <t>Base</t>
        </is>
      </c>
      <c r="B20" s="4" t="inlineStr">
        <is>
          <t>7.5x</t>
        </is>
      </c>
      <c r="C20" s="5" t="n">
        <v>315420</v>
      </c>
      <c r="D20" s="5" t="n">
        <v>70000</v>
      </c>
      <c r="E20" s="5" t="n">
        <v>245420</v>
      </c>
      <c r="F20" s="5" t="n">
        <v>197</v>
      </c>
    </row>
    <row r="21">
      <c r="A21" s="4" t="inlineStr">
        <is>
          <t>Bull</t>
        </is>
      </c>
      <c r="B21" s="4" t="inlineStr">
        <is>
          <t>9.0x</t>
        </is>
      </c>
      <c r="C21" s="5" t="n">
        <v>378504</v>
      </c>
      <c r="D21" s="5" t="n">
        <v>70000</v>
      </c>
      <c r="E21" s="5" t="n">
        <v>308504</v>
      </c>
      <c r="F21" s="5" t="n">
        <v>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20" customWidth="1" min="3" max="3"/>
    <col width="10" customWidth="1" min="4" max="4"/>
  </cols>
  <sheetData>
    <row r="1">
      <c r="A1" s="8" t="inlineStr">
        <is>
          <t>Dividend Discount Model</t>
        </is>
      </c>
    </row>
    <row r="2">
      <c r="A2" s="4" t="inlineStr">
        <is>
          <t>Current DPS (₹)</t>
        </is>
      </c>
      <c r="B2" s="7" t="n">
        <v>3.6</v>
      </c>
    </row>
    <row r="3">
      <c r="A3" s="4" t="inlineStr">
        <is>
          <t>Dividend Growth Stage 1 (5Y)</t>
        </is>
      </c>
      <c r="B3" s="6" t="n">
        <v>0.12</v>
      </c>
    </row>
    <row r="4">
      <c r="A4" s="4" t="inlineStr">
        <is>
          <t>Dividend Growth Stage 2 (∞)</t>
        </is>
      </c>
      <c r="B4" s="6" t="n">
        <v>0.05</v>
      </c>
    </row>
    <row r="5">
      <c r="A5" s="4" t="inlineStr">
        <is>
          <t>Cost of Equity (Ke)</t>
        </is>
      </c>
      <c r="B5" s="6" t="n">
        <v>0.151</v>
      </c>
    </row>
    <row r="6"/>
    <row r="7"/>
    <row r="8">
      <c r="A8" s="8" t="inlineStr">
        <is>
          <t>Stage 1: PV of Dividends</t>
        </is>
      </c>
    </row>
    <row r="9">
      <c r="A9" s="3" t="inlineStr">
        <is>
          <t>Year</t>
        </is>
      </c>
      <c r="B9" s="3" t="inlineStr">
        <is>
          <t>DPS (₹)</t>
        </is>
      </c>
      <c r="C9" s="3" t="inlineStr">
        <is>
          <t>PV Factor @15.1%</t>
        </is>
      </c>
      <c r="D9" s="3" t="inlineStr">
        <is>
          <t>PV (₹)</t>
        </is>
      </c>
    </row>
    <row r="10">
      <c r="A10" s="4" t="inlineStr">
        <is>
          <t>FY2026E</t>
        </is>
      </c>
      <c r="B10" s="7" t="n">
        <v>4.03</v>
      </c>
      <c r="C10" s="7" t="n">
        <v>0.8688</v>
      </c>
      <c r="D10" s="7" t="n">
        <v>3.5</v>
      </c>
    </row>
    <row r="11">
      <c r="A11" s="4" t="inlineStr">
        <is>
          <t>FY2027E</t>
        </is>
      </c>
      <c r="B11" s="7" t="n">
        <v>4.51</v>
      </c>
      <c r="C11" s="7" t="n">
        <v>0.7548</v>
      </c>
      <c r="D11" s="7" t="n">
        <v>3.41</v>
      </c>
    </row>
    <row r="12">
      <c r="A12" s="4" t="inlineStr">
        <is>
          <t>FY2028E</t>
        </is>
      </c>
      <c r="B12" s="7" t="n">
        <v>5.06</v>
      </c>
      <c r="C12" s="7" t="n">
        <v>0.6558</v>
      </c>
      <c r="D12" s="7" t="n">
        <v>3.32</v>
      </c>
    </row>
    <row r="13">
      <c r="A13" s="4" t="inlineStr">
        <is>
          <t>FY2029E</t>
        </is>
      </c>
      <c r="B13" s="7" t="n">
        <v>5.66</v>
      </c>
      <c r="C13" s="7" t="n">
        <v>0.5698</v>
      </c>
      <c r="D13" s="7" t="n">
        <v>3.23</v>
      </c>
    </row>
    <row r="14">
      <c r="A14" s="4" t="inlineStr">
        <is>
          <t>FY2030E</t>
        </is>
      </c>
      <c r="B14" s="7" t="n">
        <v>6.34</v>
      </c>
      <c r="C14" s="7" t="n">
        <v>0.495</v>
      </c>
      <c r="D14" s="7" t="n">
        <v>3.14</v>
      </c>
    </row>
    <row r="15">
      <c r="A15" s="4" t="inlineStr">
        <is>
          <t>Sum</t>
        </is>
      </c>
      <c r="B15" s="4" t="n"/>
      <c r="C15" s="4" t="n"/>
      <c r="D15" s="7" t="n">
        <v>16.6</v>
      </c>
    </row>
    <row r="16"/>
    <row r="17">
      <c r="A17" s="8" t="inlineStr">
        <is>
          <t>Stage 2: Terminal Value</t>
        </is>
      </c>
    </row>
    <row r="18">
      <c r="A18" t="inlineStr">
        <is>
          <t>TV = DPS₂₀₃₁ / (Ke − g) = 6.34 × 1.05 / (0.151 − 0.05)</t>
        </is>
      </c>
      <c r="B18" s="16" t="n">
        <v>65.91</v>
      </c>
    </row>
    <row r="19">
      <c r="A19" t="inlineStr">
        <is>
          <t>PV of TV = 65.91 × 0.4950</t>
        </is>
      </c>
      <c r="B19" s="16" t="n">
        <v>32.63</v>
      </c>
    </row>
    <row r="20"/>
    <row r="21">
      <c r="A21" s="17" t="inlineStr">
        <is>
          <t>DDM Value per Share (₹)</t>
        </is>
      </c>
      <c r="B21" s="18" t="n">
        <v>49.23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WACC vs Terminal Growth Rate — Intrinsic Value per Share (₹)</t>
        </is>
      </c>
    </row>
    <row r="2">
      <c r="A2" s="3" t="inlineStr">
        <is>
          <t>WACC \ g</t>
        </is>
      </c>
      <c r="B2" s="3" t="inlineStr">
        <is>
          <t>g = 3.5%</t>
        </is>
      </c>
      <c r="C2" s="3" t="inlineStr">
        <is>
          <t>g = 4.0%</t>
        </is>
      </c>
      <c r="D2" s="3" t="inlineStr">
        <is>
          <t>g = 4.5%</t>
        </is>
      </c>
      <c r="E2" s="3" t="inlineStr">
        <is>
          <t>g = 5.0%</t>
        </is>
      </c>
      <c r="F2" s="3" t="inlineStr">
        <is>
          <t>g = 5.5%</t>
        </is>
      </c>
    </row>
    <row r="3">
      <c r="A3" s="4" t="inlineStr">
        <is>
          <t>9.25%</t>
        </is>
      </c>
      <c r="B3" s="5" t="n">
        <v>227</v>
      </c>
      <c r="C3" s="5" t="n">
        <v>248</v>
      </c>
      <c r="D3" s="5" t="n">
        <v>276</v>
      </c>
      <c r="E3" s="5" t="n">
        <v>312</v>
      </c>
      <c r="F3" s="5" t="n">
        <v>361</v>
      </c>
    </row>
    <row r="4">
      <c r="A4" s="4" t="inlineStr">
        <is>
          <t>9.75%</t>
        </is>
      </c>
      <c r="B4" s="5" t="n">
        <v>207</v>
      </c>
      <c r="C4" s="5" t="n">
        <v>224</v>
      </c>
      <c r="D4" s="5" t="n">
        <v>245</v>
      </c>
      <c r="E4" s="5" t="n">
        <v>272</v>
      </c>
      <c r="F4" s="5" t="n">
        <v>307</v>
      </c>
    </row>
    <row r="5">
      <c r="A5" s="4" t="inlineStr">
        <is>
          <t>10.25%</t>
        </is>
      </c>
      <c r="B5" s="5" t="n">
        <v>189</v>
      </c>
      <c r="C5" s="5" t="n">
        <v>203</v>
      </c>
      <c r="D5" s="5" t="n">
        <v>210</v>
      </c>
      <c r="E5" s="5" t="n">
        <v>239</v>
      </c>
      <c r="F5" s="5" t="n">
        <v>264</v>
      </c>
    </row>
    <row r="6">
      <c r="A6" s="4" t="inlineStr">
        <is>
          <t>10.75%</t>
        </is>
      </c>
      <c r="B6" s="5" t="n">
        <v>174</v>
      </c>
      <c r="C6" s="5" t="n">
        <v>185</v>
      </c>
      <c r="D6" s="5" t="n">
        <v>198</v>
      </c>
      <c r="E6" s="5" t="n">
        <v>213</v>
      </c>
      <c r="F6" s="5" t="n">
        <v>232</v>
      </c>
    </row>
    <row r="7">
      <c r="A7" s="4" t="inlineStr">
        <is>
          <t>11.25%</t>
        </is>
      </c>
      <c r="B7" s="5" t="n">
        <v>161</v>
      </c>
      <c r="C7" s="5" t="n">
        <v>170</v>
      </c>
      <c r="D7" s="5" t="n">
        <v>180</v>
      </c>
      <c r="E7" s="5" t="n">
        <v>193</v>
      </c>
      <c r="F7" s="5" t="n">
        <v>208</v>
      </c>
    </row>
    <row r="8"/>
    <row r="9"/>
    <row r="10">
      <c r="A10" s="8" t="inlineStr">
        <is>
          <t>EBITDA Margin Sensitivity (FY28E)</t>
        </is>
      </c>
    </row>
    <row r="11">
      <c r="A11" s="3" t="inlineStr">
        <is>
          <t>EBITDA Margin (FY28E)</t>
        </is>
      </c>
      <c r="B11" s="3" t="inlineStr">
        <is>
          <t>DCF Value/Share (₹)</t>
        </is>
      </c>
    </row>
    <row r="12">
      <c r="A12" s="4" t="inlineStr">
        <is>
          <t>13.0% (Bear)</t>
        </is>
      </c>
      <c r="B12" s="5" t="n">
        <v>172</v>
      </c>
    </row>
    <row r="13">
      <c r="A13" s="4" t="inlineStr">
        <is>
          <t>14.0%</t>
        </is>
      </c>
      <c r="B13" s="5" t="n">
        <v>191</v>
      </c>
    </row>
    <row r="14">
      <c r="A14" s="4" t="inlineStr">
        <is>
          <t>15.0% (Base)</t>
        </is>
      </c>
      <c r="B14" s="5" t="n">
        <v>210</v>
      </c>
    </row>
    <row r="15">
      <c r="A15" s="4" t="inlineStr">
        <is>
          <t>16.0%</t>
        </is>
      </c>
      <c r="B15" s="5" t="n">
        <v>229</v>
      </c>
    </row>
    <row r="16">
      <c r="A16" s="4" t="inlineStr">
        <is>
          <t>17.0% (Bull)</t>
        </is>
      </c>
      <c r="B16" s="5" t="n">
        <v>248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7" customWidth="1" min="3" max="3"/>
    <col width="17" customWidth="1" min="4" max="4"/>
  </cols>
  <sheetData>
    <row r="1">
      <c r="A1" s="8" t="inlineStr">
        <is>
          <t>Football Field Chart — Valuation Range Summary</t>
        </is>
      </c>
    </row>
    <row r="2">
      <c r="A2" s="3" t="inlineStr">
        <is>
          <t>Method</t>
        </is>
      </c>
      <c r="B2" s="3" t="inlineStr">
        <is>
          <t>Bear Case (₹)</t>
        </is>
      </c>
      <c r="C2" s="3" t="inlineStr">
        <is>
          <t>Base Case (₹)</t>
        </is>
      </c>
      <c r="D2" s="3" t="inlineStr">
        <is>
          <t>Bull Case (₹)</t>
        </is>
      </c>
    </row>
    <row r="3">
      <c r="A3" s="4" t="inlineStr">
        <is>
          <t>DCF (FCFF Deterministic)</t>
        </is>
      </c>
      <c r="B3" s="5" t="n">
        <v>172</v>
      </c>
      <c r="C3" s="5" t="n">
        <v>210</v>
      </c>
      <c r="D3" s="5" t="n">
        <v>276</v>
      </c>
    </row>
    <row r="4">
      <c r="A4" s="4" t="inlineStr">
        <is>
          <t>DCF Monte Carlo (P25/P50/P75)</t>
        </is>
      </c>
      <c r="B4" s="5" t="n">
        <v>188</v>
      </c>
      <c r="C4" s="5" t="n">
        <v>218</v>
      </c>
      <c r="D4" s="5" t="n">
        <v>248</v>
      </c>
    </row>
    <row r="5">
      <c r="A5" s="4" t="inlineStr">
        <is>
          <t>EVA (Normalized)</t>
        </is>
      </c>
      <c r="B5" s="5" t="n">
        <v>170</v>
      </c>
      <c r="C5" s="5" t="n">
        <v>205</v>
      </c>
      <c r="D5" s="5" t="n">
        <v>235</v>
      </c>
    </row>
    <row r="6">
      <c r="A6" s="4" t="inlineStr">
        <is>
          <t>EV/EBITDA (Mid-Cycle)</t>
        </is>
      </c>
      <c r="B6" s="5" t="n">
        <v>163</v>
      </c>
      <c r="C6" s="5" t="n">
        <v>197</v>
      </c>
      <c r="D6" s="5" t="n">
        <v>247</v>
      </c>
    </row>
    <row r="7">
      <c r="A7" s="4" t="inlineStr">
        <is>
          <t>DDM</t>
        </is>
      </c>
      <c r="B7" s="5" t="n">
        <v>49</v>
      </c>
      <c r="C7" s="5" t="n">
        <v>49</v>
      </c>
      <c r="D7" s="5" t="n">
        <v>65</v>
      </c>
    </row>
    <row r="8">
      <c r="A8" s="4" t="inlineStr">
        <is>
          <t>Book Value / P/B</t>
        </is>
      </c>
      <c r="B8" s="5" t="n">
        <v>179</v>
      </c>
      <c r="C8" s="5" t="n">
        <v>197</v>
      </c>
      <c r="D8" s="5" t="n">
        <v>215</v>
      </c>
    </row>
    <row r="9">
      <c r="A9" s="10" t="inlineStr">
        <is>
          <t>BLENDED FAIR VALUE</t>
        </is>
      </c>
      <c r="B9" s="14" t="n">
        <v>170</v>
      </c>
      <c r="C9" s="14" t="n">
        <v>213</v>
      </c>
      <c r="D9" s="14" t="n">
        <v>263</v>
      </c>
    </row>
    <row r="10"/>
    <row r="11">
      <c r="A11" s="8" t="inlineStr">
        <is>
          <t>Weighted Average Fair Value</t>
        </is>
      </c>
    </row>
    <row r="12">
      <c r="A12" t="inlineStr">
        <is>
          <t>(70% DCF + 30% EV/EBITDA mid-cycle)</t>
        </is>
      </c>
      <c r="B12">
        <f> (0.70 × ₹210) + (0.30 × ₹197) = ₹206 per share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2026-03-13T11:55:38Z</dcterms:created>
  <dcterms:modified xsi:type="dcterms:W3CDTF">2026-03-13T11:55:38Z</dcterms:modified>
</cp:coreProperties>
</file>